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Desktop\Data Analytics Projects\Google Call Center Quality Analytics\02_Working_Files\"/>
    </mc:Choice>
  </mc:AlternateContent>
  <xr:revisionPtr revIDLastSave="0" documentId="13_ncr:1_{221E2FE9-FC01-4648-BBD2-1A37CA82ACA9}" xr6:coauthVersionLast="47" xr6:coauthVersionMax="47" xr10:uidLastSave="{00000000-0000-0000-0000-000000000000}"/>
  <bookViews>
    <workbookView xWindow="-108" yWindow="-108" windowWidth="16608" windowHeight="8832" activeTab="1" xr2:uid="{F91BE39C-94EE-42FC-A6BD-F5CEDCCBC7C8}"/>
  </bookViews>
  <sheets>
    <sheet name="Sheet1" sheetId="1" r:id="rId1"/>
    <sheet name="Clean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2" i="1"/>
  <c r="K3" i="1"/>
  <c r="L3" i="1"/>
  <c r="M3" i="1"/>
  <c r="K4" i="1"/>
  <c r="L4" i="1"/>
  <c r="M4" i="1"/>
  <c r="K5" i="1"/>
  <c r="L5" i="1"/>
  <c r="M5" i="1"/>
  <c r="K6" i="1"/>
  <c r="L6" i="1"/>
  <c r="M6" i="1"/>
  <c r="K7" i="1"/>
  <c r="L7" i="1"/>
  <c r="M7" i="1"/>
  <c r="K8" i="1"/>
  <c r="L8" i="1"/>
  <c r="M8" i="1"/>
  <c r="M2" i="1"/>
  <c r="L2" i="1"/>
  <c r="K2" i="1"/>
</calcChain>
</file>

<file path=xl/sharedStrings.xml><?xml version="1.0" encoding="utf-8"?>
<sst xmlns="http://schemas.openxmlformats.org/spreadsheetml/2006/main" count="95" uniqueCount="36">
  <si>
    <t>Interaction_ID</t>
  </si>
  <si>
    <t>Call_Date</t>
  </si>
  <si>
    <t>Agent_Name</t>
  </si>
  <si>
    <t>Queue_Type</t>
  </si>
  <si>
    <t>Call_Duration_Sec</t>
  </si>
  <si>
    <t>CSAT_Score</t>
  </si>
  <si>
    <t>QA_Score</t>
  </si>
  <si>
    <t>First_Call_Resolution</t>
  </si>
  <si>
    <t>Silence_Time_Sec</t>
  </si>
  <si>
    <t>Status</t>
  </si>
  <si>
    <t>INT-001</t>
  </si>
  <si>
    <t>Sarah Jenkins</t>
  </si>
  <si>
    <t>Tech Support</t>
  </si>
  <si>
    <t>Yes</t>
  </si>
  <si>
    <t>Closed</t>
  </si>
  <si>
    <t>INT-002</t>
  </si>
  <si>
    <t>Michael Chang</t>
  </si>
  <si>
    <t>Billing</t>
  </si>
  <si>
    <t>No</t>
  </si>
  <si>
    <t>INT-003</t>
  </si>
  <si>
    <t>tech support</t>
  </si>
  <si>
    <t>Completed</t>
  </si>
  <si>
    <t>INT-004</t>
  </si>
  <si>
    <t>Pending</t>
  </si>
  <si>
    <t>INT-005</t>
  </si>
  <si>
    <t>David Ross</t>
  </si>
  <si>
    <t>Inbound Sales</t>
  </si>
  <si>
    <t>INT-006</t>
  </si>
  <si>
    <t>N/A</t>
  </si>
  <si>
    <t>INT-007</t>
  </si>
  <si>
    <t>mIchael cHang</t>
  </si>
  <si>
    <t>Clean_Agent_Name</t>
  </si>
  <si>
    <t>Clean_Queue_Type</t>
  </si>
  <si>
    <t>Clean_Duration_Sec</t>
  </si>
  <si>
    <t>Clean_CSAT_Score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</si>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</sst>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0BE9-1E27-4D5A-B381-B463EE972C0C}">
  <dimension ref="A1:N8"/>
  <sheetViews>
    <sheetView topLeftCell="F1" workbookViewId="0">
      <selection activeCell="N1" activeCellId="3" sqref="K1:K1048576 L1:L1048576 M1:M1048576 N1:N1048576"/>
    </sheetView>
  </sheetViews>
  <sheetFormatPr defaultRowHeight="14.4" x14ac:dyDescent="0.3"/>
  <cols>
    <col min="1" max="1" width="12.77734375" bestFit="1" customWidth="1"/>
    <col min="2" max="2" width="10.33203125" bestFit="1" customWidth="1"/>
    <col min="3" max="3" width="12.88671875" bestFit="1" customWidth="1"/>
    <col min="4" max="4" width="12.21875" bestFit="1" customWidth="1"/>
    <col min="5" max="5" width="16" bestFit="1" customWidth="1"/>
    <col min="6" max="6" width="10.6640625" bestFit="1" customWidth="1"/>
    <col min="7" max="7" width="9" bestFit="1" customWidth="1"/>
    <col min="8" max="8" width="18.33203125" bestFit="1" customWidth="1"/>
    <col min="9" max="9" width="15.5546875" bestFit="1" customWidth="1"/>
    <col min="10" max="10" width="9.88671875" bestFit="1" customWidth="1"/>
    <col min="11" max="11" width="17.33203125" bestFit="1" customWidth="1"/>
    <col min="12" max="12" width="16.88671875" bestFit="1" customWidth="1"/>
    <col min="13" max="13" width="17.6640625" bestFit="1" customWidth="1"/>
    <col min="14" max="14" width="16.3320312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31</v>
      </c>
      <c r="L1" s="5" t="s">
        <v>32</v>
      </c>
      <c r="M1" s="5" t="s">
        <v>33</v>
      </c>
      <c r="N1" s="5" t="s">
        <v>34</v>
      </c>
    </row>
    <row r="2" spans="1:14" x14ac:dyDescent="0.3">
      <c r="A2" s="2" t="s">
        <v>10</v>
      </c>
      <c r="B2" s="3">
        <v>46174</v>
      </c>
      <c r="C2" s="2" t="s">
        <v>11</v>
      </c>
      <c r="D2" s="2" t="s">
        <v>12</v>
      </c>
      <c r="E2" s="2">
        <v>420</v>
      </c>
      <c r="F2" s="2">
        <v>5</v>
      </c>
      <c r="G2" s="4">
        <v>0.95</v>
      </c>
      <c r="H2" s="2" t="s">
        <v>13</v>
      </c>
      <c r="I2" s="2">
        <v>12</v>
      </c>
      <c r="J2" s="2" t="s">
        <v>14</v>
      </c>
      <c r="K2" s="6" t="str">
        <f>PROPER(C2)</f>
        <v>Sarah Jenkins</v>
      </c>
      <c r="L2" s="6" t="str">
        <f>PROPER(D2)</f>
        <v>Tech Support</v>
      </c>
      <c r="M2" s="6">
        <f>ABS(E2)</f>
        <v>420</v>
      </c>
      <c r="N2" s="1">
        <f>IF(ISNUMBER(F2),F2,"")</f>
        <v>5</v>
      </c>
    </row>
    <row r="3" spans="1:14" x14ac:dyDescent="0.3">
      <c r="A3" s="2" t="s">
        <v>15</v>
      </c>
      <c r="B3" s="3">
        <v>46028</v>
      </c>
      <c r="C3" s="2" t="s">
        <v>16</v>
      </c>
      <c r="D3" s="2" t="s">
        <v>17</v>
      </c>
      <c r="E3" s="2">
        <v>180</v>
      </c>
      <c r="F3" s="2">
        <v>2</v>
      </c>
      <c r="G3" s="4">
        <v>0.78</v>
      </c>
      <c r="H3" s="2" t="s">
        <v>18</v>
      </c>
      <c r="I3" s="2">
        <v>45</v>
      </c>
      <c r="J3" s="2" t="s">
        <v>14</v>
      </c>
      <c r="K3" s="6" t="str">
        <f t="shared" ref="K3:K8" si="0">PROPER(C3)</f>
        <v>Michael Chang</v>
      </c>
      <c r="L3" s="6" t="str">
        <f t="shared" ref="L3:L8" si="1">PROPER(D3)</f>
        <v>Billing</v>
      </c>
      <c r="M3" s="6">
        <f t="shared" ref="M3:M8" si="2">ABS(E3)</f>
        <v>180</v>
      </c>
      <c r="N3" s="1">
        <f t="shared" ref="N3:N8" si="3">IF(ISNUMBER(F3),F3,"")</f>
        <v>2</v>
      </c>
    </row>
    <row r="4" spans="1:14" x14ac:dyDescent="0.3">
      <c r="A4" s="2" t="s">
        <v>19</v>
      </c>
      <c r="B4" s="3">
        <v>46175</v>
      </c>
      <c r="C4" s="2" t="s">
        <v>11</v>
      </c>
      <c r="D4" s="2" t="s">
        <v>20</v>
      </c>
      <c r="E4" s="2">
        <v>610</v>
      </c>
      <c r="F4" s="2">
        <v>4</v>
      </c>
      <c r="G4" s="4">
        <v>0.88</v>
      </c>
      <c r="H4" s="2" t="s">
        <v>13</v>
      </c>
      <c r="I4" s="2">
        <v>110</v>
      </c>
      <c r="J4" s="2" t="s">
        <v>21</v>
      </c>
      <c r="K4" s="6" t="str">
        <f t="shared" si="0"/>
        <v>Sarah Jenkins</v>
      </c>
      <c r="L4" s="6" t="str">
        <f t="shared" si="1"/>
        <v>Tech Support</v>
      </c>
      <c r="M4" s="6">
        <f t="shared" si="2"/>
        <v>610</v>
      </c>
      <c r="N4" s="1">
        <f t="shared" si="3"/>
        <v>4</v>
      </c>
    </row>
    <row r="5" spans="1:14" x14ac:dyDescent="0.3">
      <c r="A5" s="2" t="s">
        <v>22</v>
      </c>
      <c r="B5" s="3">
        <v>46175</v>
      </c>
      <c r="C5" s="2" t="s">
        <v>16</v>
      </c>
      <c r="D5" s="2" t="s">
        <v>17</v>
      </c>
      <c r="E5" s="2">
        <v>-50</v>
      </c>
      <c r="F5" s="2">
        <v>3</v>
      </c>
      <c r="G5" s="4">
        <v>0.82</v>
      </c>
      <c r="H5" s="2" t="s">
        <v>13</v>
      </c>
      <c r="I5" s="2">
        <v>0</v>
      </c>
      <c r="J5" s="2" t="s">
        <v>23</v>
      </c>
      <c r="K5" s="6" t="str">
        <f t="shared" si="0"/>
        <v>Michael Chang</v>
      </c>
      <c r="L5" s="6" t="str">
        <f t="shared" si="1"/>
        <v>Billing</v>
      </c>
      <c r="M5" s="6">
        <f t="shared" si="2"/>
        <v>50</v>
      </c>
      <c r="N5" s="1">
        <f t="shared" si="3"/>
        <v>3</v>
      </c>
    </row>
    <row r="6" spans="1:14" x14ac:dyDescent="0.3">
      <c r="A6" s="2" t="s">
        <v>24</v>
      </c>
      <c r="B6" s="3">
        <v>46176</v>
      </c>
      <c r="C6" s="2" t="s">
        <v>25</v>
      </c>
      <c r="D6" s="2" t="s">
        <v>26</v>
      </c>
      <c r="E6" s="2">
        <v>310</v>
      </c>
      <c r="F6" s="2">
        <v>5</v>
      </c>
      <c r="G6" s="4">
        <v>1</v>
      </c>
      <c r="H6" s="2" t="s">
        <v>13</v>
      </c>
      <c r="I6" s="2">
        <v>5</v>
      </c>
      <c r="J6" s="2" t="s">
        <v>14</v>
      </c>
      <c r="K6" s="6" t="str">
        <f t="shared" si="0"/>
        <v>David Ross</v>
      </c>
      <c r="L6" s="6" t="str">
        <f t="shared" si="1"/>
        <v>Inbound Sales</v>
      </c>
      <c r="M6" s="6">
        <f t="shared" si="2"/>
        <v>310</v>
      </c>
      <c r="N6" s="1">
        <f t="shared" si="3"/>
        <v>5</v>
      </c>
    </row>
    <row r="7" spans="1:14" x14ac:dyDescent="0.3">
      <c r="A7" s="2" t="s">
        <v>27</v>
      </c>
      <c r="B7" s="3">
        <v>46176</v>
      </c>
      <c r="C7" s="2" t="s">
        <v>11</v>
      </c>
      <c r="D7" s="2" t="s">
        <v>12</v>
      </c>
      <c r="E7" s="2">
        <v>240</v>
      </c>
      <c r="F7" s="2" t="s">
        <v>28</v>
      </c>
      <c r="G7" s="4">
        <v>0.85</v>
      </c>
      <c r="H7" s="2" t="s">
        <v>18</v>
      </c>
      <c r="I7" s="2">
        <v>15</v>
      </c>
      <c r="J7" s="2" t="s">
        <v>14</v>
      </c>
      <c r="K7" s="6" t="str">
        <f t="shared" si="0"/>
        <v>Sarah Jenkins</v>
      </c>
      <c r="L7" s="6" t="str">
        <f t="shared" si="1"/>
        <v>Tech Support</v>
      </c>
      <c r="M7" s="6">
        <f t="shared" si="2"/>
        <v>240</v>
      </c>
      <c r="N7" s="1" t="str">
        <f t="shared" si="3"/>
        <v/>
      </c>
    </row>
    <row r="8" spans="1:14" x14ac:dyDescent="0.3">
      <c r="A8" s="2" t="s">
        <v>29</v>
      </c>
      <c r="B8" s="3">
        <v>46177</v>
      </c>
      <c r="C8" s="2" t="s">
        <v>30</v>
      </c>
      <c r="D8" s="2" t="s">
        <v>17</v>
      </c>
      <c r="E8" s="2">
        <v>210</v>
      </c>
      <c r="F8" s="2">
        <v>4</v>
      </c>
      <c r="G8" s="4">
        <v>0</v>
      </c>
      <c r="H8" s="2" t="s">
        <v>13</v>
      </c>
      <c r="I8" s="2">
        <v>8</v>
      </c>
      <c r="J8" s="2" t="s">
        <v>14</v>
      </c>
      <c r="K8" s="6" t="str">
        <f t="shared" si="0"/>
        <v>Michael Chang</v>
      </c>
      <c r="L8" s="6" t="str">
        <f t="shared" si="1"/>
        <v>Billing</v>
      </c>
      <c r="M8" s="6">
        <f t="shared" si="2"/>
        <v>210</v>
      </c>
      <c r="N8" s="1">
        <f t="shared" si="3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7E01-BE1F-4F94-9430-FD19D77C2073}">
  <dimension ref="A1:I8"/>
  <sheetViews>
    <sheetView tabSelected="1" workbookViewId="0">
      <selection activeCell="J7" sqref="J7"/>
    </sheetView>
  </sheetViews>
  <sheetFormatPr defaultRowHeight="14.4" x14ac:dyDescent="0.3"/>
  <cols>
    <col min="1" max="1" width="12.77734375" bestFit="1" customWidth="1"/>
    <col min="2" max="2" width="10.33203125" bestFit="1" customWidth="1"/>
    <col min="3" max="3" width="18.33203125" bestFit="1" customWidth="1"/>
    <col min="4" max="4" width="15.5546875" bestFit="1" customWidth="1"/>
    <col min="5" max="5" width="9.88671875" bestFit="1" customWidth="1"/>
    <col min="6" max="6" width="17.33203125" bestFit="1" customWidth="1"/>
    <col min="7" max="7" width="16.88671875" bestFit="1" customWidth="1"/>
    <col min="8" max="8" width="17.6640625" bestFit="1" customWidth="1"/>
    <col min="9" max="9" width="16.33203125" bestFit="1" customWidth="1"/>
  </cols>
  <sheetData>
    <row r="1" spans="1:9" x14ac:dyDescent="0.3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6" t="s">
        <v>31</v>
      </c>
      <c r="G1" s="6" t="s">
        <v>32</v>
      </c>
      <c r="H1" s="6" t="s">
        <v>33</v>
      </c>
      <c r="I1" s="6" t="s">
        <v>34</v>
      </c>
    </row>
    <row r="2" spans="1:9" x14ac:dyDescent="0.3">
      <c r="A2" s="2" t="s">
        <v>10</v>
      </c>
      <c r="B2" s="3">
        <v>46174</v>
      </c>
      <c r="C2" s="2" t="s">
        <v>13</v>
      </c>
      <c r="D2" s="2">
        <v>12</v>
      </c>
      <c r="E2" s="2" t="s">
        <v>14</v>
      </c>
      <c r="F2" s="6" t="s">
        <v>11</v>
      </c>
      <c r="G2" s="6" t="s">
        <v>12</v>
      </c>
      <c r="H2" s="6">
        <v>420</v>
      </c>
      <c r="I2" s="6">
        <v>5</v>
      </c>
    </row>
    <row r="3" spans="1:9" x14ac:dyDescent="0.3">
      <c r="A3" s="2" t="s">
        <v>15</v>
      </c>
      <c r="B3" s="3">
        <v>46028</v>
      </c>
      <c r="C3" s="2" t="s">
        <v>18</v>
      </c>
      <c r="D3" s="2">
        <v>45</v>
      </c>
      <c r="E3" s="2" t="s">
        <v>14</v>
      </c>
      <c r="F3" s="6" t="s">
        <v>16</v>
      </c>
      <c r="G3" s="6" t="s">
        <v>17</v>
      </c>
      <c r="H3" s="6">
        <v>180</v>
      </c>
      <c r="I3" s="6">
        <v>2</v>
      </c>
    </row>
    <row r="4" spans="1:9" x14ac:dyDescent="0.3">
      <c r="A4" s="2" t="s">
        <v>19</v>
      </c>
      <c r="B4" s="3">
        <v>46175</v>
      </c>
      <c r="C4" s="2" t="s">
        <v>13</v>
      </c>
      <c r="D4" s="2">
        <v>110</v>
      </c>
      <c r="E4" s="2" t="s">
        <v>21</v>
      </c>
      <c r="F4" s="6" t="s">
        <v>11</v>
      </c>
      <c r="G4" s="6" t="s">
        <v>12</v>
      </c>
      <c r="H4" s="6">
        <v>610</v>
      </c>
      <c r="I4" s="6">
        <v>4</v>
      </c>
    </row>
    <row r="5" spans="1:9" x14ac:dyDescent="0.3">
      <c r="A5" s="2" t="s">
        <v>22</v>
      </c>
      <c r="B5" s="3">
        <v>46175</v>
      </c>
      <c r="C5" s="2" t="s">
        <v>13</v>
      </c>
      <c r="D5" s="2">
        <v>0</v>
      </c>
      <c r="E5" s="2" t="s">
        <v>23</v>
      </c>
      <c r="F5" s="6" t="s">
        <v>16</v>
      </c>
      <c r="G5" s="6" t="s">
        <v>17</v>
      </c>
      <c r="H5" s="6">
        <v>50</v>
      </c>
      <c r="I5" s="6">
        <v>3</v>
      </c>
    </row>
    <row r="6" spans="1:9" x14ac:dyDescent="0.3">
      <c r="A6" s="2" t="s">
        <v>24</v>
      </c>
      <c r="B6" s="3">
        <v>46176</v>
      </c>
      <c r="C6" s="2" t="s">
        <v>13</v>
      </c>
      <c r="D6" s="2">
        <v>5</v>
      </c>
      <c r="E6" s="2" t="s">
        <v>14</v>
      </c>
      <c r="F6" s="6" t="s">
        <v>25</v>
      </c>
      <c r="G6" s="6" t="s">
        <v>26</v>
      </c>
      <c r="H6" s="6">
        <v>310</v>
      </c>
      <c r="I6" s="6">
        <v>5</v>
      </c>
    </row>
    <row r="7" spans="1:9" x14ac:dyDescent="0.3">
      <c r="A7" s="2" t="s">
        <v>27</v>
      </c>
      <c r="B7" s="3">
        <v>46176</v>
      </c>
      <c r="C7" s="2" t="s">
        <v>18</v>
      </c>
      <c r="D7" s="2">
        <v>15</v>
      </c>
      <c r="E7" s="2" t="s">
        <v>14</v>
      </c>
      <c r="F7" s="6" t="s">
        <v>11</v>
      </c>
      <c r="G7" s="6" t="s">
        <v>12</v>
      </c>
      <c r="H7" s="6">
        <v>240</v>
      </c>
      <c r="I7" s="6" t="s">
        <v>35</v>
      </c>
    </row>
    <row r="8" spans="1:9" x14ac:dyDescent="0.3">
      <c r="A8" s="2" t="s">
        <v>29</v>
      </c>
      <c r="B8" s="3">
        <v>46177</v>
      </c>
      <c r="C8" s="2" t="s">
        <v>13</v>
      </c>
      <c r="D8" s="2">
        <v>8</v>
      </c>
      <c r="E8" s="2" t="s">
        <v>14</v>
      </c>
      <c r="F8" s="6" t="s">
        <v>16</v>
      </c>
      <c r="G8" s="6" t="s">
        <v>17</v>
      </c>
      <c r="H8" s="6">
        <v>210</v>
      </c>
      <c r="I8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Agnelo Lobo</dc:creator>
  <cp:lastModifiedBy>Agnelo Lobo</cp:lastModifiedBy>
  <dcterms:created xsi:type="dcterms:W3CDTF">2026-06-25T11:07:56Z</dcterms:created>
  <dcterms:modified xsi:type="dcterms:W3CDTF">2026-06-25T11:54:24Z</dcterms:modified>
</cp:coreProperties>
</file>